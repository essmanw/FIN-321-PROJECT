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Audit" sheetId="3" state="visible" r:id="rId3"/>
  </sheets>
  <definedNames>
    <definedName name="FC_AMT">Model!$B$5</definedName>
    <definedName name="S0_in">Model!$B$6</definedName>
    <definedName name="F0_in">Model!$B$7</definedName>
    <definedName name="R_USD">Model!$B$8</definedName>
    <definedName name="R_FC">Model!$B$9</definedName>
    <definedName name="K_PUT">Model!$B$10</definedName>
    <definedName name="K_CALL">Model!$B$11</definedName>
    <definedName name="PREM_PUT">Model!$B$12</definedName>
    <definedName name="PREM_CALL">Model!$B$13</definedName>
    <definedName name="T_DAYS">Model!$B$14</definedName>
    <definedName name="T_YRS">Model!$B$15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0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FX Receivable Hedge – Stage 4 (Scenario 4)</t>
        </is>
      </c>
    </row>
    <row r="3">
      <c r="A3" s="2" t="inlineStr">
        <is>
          <t>INPUT VARIABLES (Yellow = Inputs)</t>
        </is>
      </c>
    </row>
    <row r="5">
      <c r="A5" s="3" t="inlineStr">
        <is>
          <t>FC_AMT (EUR receivable)</t>
        </is>
      </c>
      <c r="B5" s="4" t="n">
        <v>17800000</v>
      </c>
    </row>
    <row r="6">
      <c r="A6" s="3" t="inlineStr">
        <is>
          <t>Spot S0 (USD per EUR)</t>
        </is>
      </c>
      <c r="B6" s="4" t="n">
        <v>1.16</v>
      </c>
    </row>
    <row r="7">
      <c r="A7" s="3" t="inlineStr">
        <is>
          <t>Forward F0 (USD per EUR)</t>
        </is>
      </c>
      <c r="B7" s="5" t="n">
        <v>1.0935</v>
      </c>
    </row>
    <row r="8">
      <c r="A8" s="3" t="inlineStr">
        <is>
          <t>USD rate r_USD (p.a.)</t>
        </is>
      </c>
      <c r="B8" s="5" t="n">
        <v>0.0475</v>
      </c>
    </row>
    <row r="9">
      <c r="A9" s="3" t="inlineStr">
        <is>
          <t>EUR rate r_FC (p.a.)</t>
        </is>
      </c>
      <c r="B9" s="5" t="n">
        <v>0.03</v>
      </c>
    </row>
    <row r="10">
      <c r="A10" s="3" t="inlineStr">
        <is>
          <t>Put strike K_PUT</t>
        </is>
      </c>
      <c r="B10" s="4" t="n">
        <v>1.16</v>
      </c>
    </row>
    <row r="11">
      <c r="A11" s="3" t="inlineStr">
        <is>
          <t>Call strike K_CALL</t>
        </is>
      </c>
      <c r="B11" s="4" t="n">
        <v>1.16</v>
      </c>
    </row>
    <row r="12">
      <c r="A12" s="3" t="inlineStr">
        <is>
          <t>Put premium PREM_PUT (USD/EUR)</t>
        </is>
      </c>
      <c r="B12" s="4" t="n">
        <v>0.019</v>
      </c>
    </row>
    <row r="13">
      <c r="A13" s="3" t="inlineStr">
        <is>
          <t>Call premium PREM_CALL (USD/EUR)</t>
        </is>
      </c>
      <c r="B13" s="4" t="n">
        <v>0.024</v>
      </c>
    </row>
    <row r="14">
      <c r="A14" s="3" t="inlineStr">
        <is>
          <t>T_DAYS</t>
        </is>
      </c>
      <c r="B14" s="4" t="n">
        <v>360</v>
      </c>
    </row>
    <row r="15">
      <c r="A15" s="6" t="inlineStr">
        <is>
          <t>T_YRS = T_DAYS / 360</t>
        </is>
      </c>
      <c r="B15" s="7">
        <f>B14/360</f>
        <v/>
      </c>
    </row>
    <row r="17">
      <c r="A17" s="2" t="inlineStr">
        <is>
          <t>FORWARD HEDGE</t>
        </is>
      </c>
    </row>
    <row r="18">
      <c r="A18" s="6" t="inlineStr">
        <is>
          <t>Locked USD (EUR × F0)</t>
        </is>
      </c>
      <c r="B18" s="8">
        <f>FC_AMT*F0_in</f>
        <v/>
      </c>
    </row>
    <row r="20">
      <c r="A20" s="2" t="inlineStr">
        <is>
          <t>MONEY MARKET HEDGE (3-step)</t>
        </is>
      </c>
    </row>
    <row r="21">
      <c r="A21" s="6" t="inlineStr">
        <is>
          <t>1) EUR to borrow today</t>
        </is>
      </c>
      <c r="B21" s="7">
        <f>FC_AMT/(1+R_FC*T_YRS)</f>
        <v/>
      </c>
    </row>
    <row r="22">
      <c r="A22" s="6" t="inlineStr">
        <is>
          <t>2) USD obtained today</t>
        </is>
      </c>
      <c r="B22" s="7">
        <f>B21*S0_in</f>
        <v/>
      </c>
    </row>
    <row r="23">
      <c r="A23" s="6" t="inlineStr">
        <is>
          <t>3) USD at maturity</t>
        </is>
      </c>
      <c r="B23" s="8">
        <f>B22*(1+R_USD*T_YRS)</f>
        <v/>
      </c>
    </row>
    <row r="24">
      <c r="A24" s="2" t="inlineStr">
        <is>
          <t>COVERED INTEREST PARITY CHECK</t>
        </is>
      </c>
    </row>
    <row r="25">
      <c r="A25" s="6" t="inlineStr">
        <is>
          <t>Implied forward from CIP: S0*(1+r_USD*t)/(1+r_FC*t)</t>
        </is>
      </c>
      <c r="B25" s="7">
        <f>S0_in*(1+R_USD*T_YRS)/(1+R_FC*T_YRS)</f>
        <v/>
      </c>
    </row>
    <row r="26">
      <c r="A26" s="6" t="inlineStr">
        <is>
          <t>Difference vs. quoted F0 (bps)</t>
        </is>
      </c>
      <c r="B26" s="7">
        <f>(B25-F0_in)/F0_in*10000</f>
        <v/>
      </c>
    </row>
    <row r="28">
      <c r="A28" s="2" t="inlineStr">
        <is>
          <t>OPTION HEDGES (Payouts at Maturity S_T)</t>
        </is>
      </c>
    </row>
    <row r="29">
      <c r="A29" s="6" t="inlineStr">
        <is>
          <t>Spot at maturity S_T</t>
        </is>
      </c>
      <c r="B29" s="4">
        <f>S0_in</f>
        <v/>
      </c>
    </row>
    <row r="30">
      <c r="A30" s="6" t="inlineStr">
        <is>
          <t>USD receipts – Unhedged</t>
        </is>
      </c>
      <c r="B30" s="7">
        <f>FC_AMT*B29</f>
        <v/>
      </c>
    </row>
    <row r="31">
      <c r="A31" s="6" t="inlineStr">
        <is>
          <t>USD receipts – Long EUR Put</t>
        </is>
      </c>
      <c r="B31" s="7">
        <f>FC_AMT*MAX(B29,K_PUT) - PREM_PUT*FC_AMT</f>
        <v/>
      </c>
    </row>
    <row r="32">
      <c r="A32" s="6" t="inlineStr">
        <is>
          <t>USD receipts – Long EUR Call</t>
        </is>
      </c>
      <c r="B32" s="7">
        <f>FC_AMT*(B29 + MAX(B29-K_CALL,0)) - PREM_CALL*FC_AMT</f>
        <v/>
      </c>
    </row>
    <row r="34">
      <c r="A34" s="2" t="inlineStr">
        <is>
          <t>OUTPUTS / KPIs</t>
        </is>
      </c>
    </row>
    <row r="35">
      <c r="A35" s="6" t="inlineStr">
        <is>
          <t>Forward USD (Gray)</t>
        </is>
      </c>
      <c r="B35" s="8">
        <f>FC_AMT*F0_in</f>
        <v/>
      </c>
    </row>
    <row r="36">
      <c r="A36" s="6" t="inlineStr">
        <is>
          <t>Money Market USD (Gray)</t>
        </is>
      </c>
      <c r="B36" s="8">
        <f>B23</f>
        <v/>
      </c>
    </row>
    <row r="37">
      <c r="A37" s="6" t="inlineStr">
        <is>
          <t>Parity Diff (bps)</t>
        </is>
      </c>
      <c r="B37" s="8">
        <f>B26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Sensitivity: S_T from 0.95×S0 to 1.05×S0 (step 0.01)</t>
        </is>
      </c>
    </row>
    <row r="3">
      <c r="A3" s="9" t="inlineStr">
        <is>
          <t>S_T</t>
        </is>
      </c>
      <c r="B3" s="9" t="inlineStr">
        <is>
          <t>Unhedged USD</t>
        </is>
      </c>
      <c r="C3" s="9" t="inlineStr">
        <is>
          <t>Long Put USD</t>
        </is>
      </c>
      <c r="D3" s="9" t="inlineStr">
        <is>
          <t>Long Call USD</t>
        </is>
      </c>
      <c r="E3" s="10" t="inlineStr">
        <is>
          <t>Forward USD</t>
        </is>
      </c>
      <c r="F3" s="10" t="inlineStr">
        <is>
          <t>MM USD</t>
        </is>
      </c>
    </row>
    <row r="4">
      <c r="A4" s="7">
        <f>0.95*S0_in</f>
        <v/>
      </c>
      <c r="B4" s="7">
        <f>FC_AMT*A4</f>
        <v/>
      </c>
      <c r="C4" s="7">
        <f>FC_AMT*MAX(A4,K_PUT) - PREM_PUT*FC_AMT</f>
        <v/>
      </c>
      <c r="D4" s="7">
        <f>FC_AMT*(A4 + MAX(A4-K_CALL,0)) - PREM_CALL*FC_AMT</f>
        <v/>
      </c>
      <c r="E4" s="8">
        <f>FC_AMT*F0_in</f>
        <v/>
      </c>
      <c r="F4" s="8">
        <f>Model!$B$23</f>
        <v/>
      </c>
    </row>
    <row r="5">
      <c r="A5" s="7">
        <f>0.96*S0_in</f>
        <v/>
      </c>
      <c r="B5" s="7">
        <f>FC_AMT*A5</f>
        <v/>
      </c>
      <c r="C5" s="7">
        <f>FC_AMT*MAX(A5,K_PUT) - PREM_PUT*FC_AMT</f>
        <v/>
      </c>
      <c r="D5" s="7">
        <f>FC_AMT*(A5 + MAX(A5-K_CALL,0)) - PREM_CALL*FC_AMT</f>
        <v/>
      </c>
      <c r="E5" s="8">
        <f>FC_AMT*F0_in</f>
        <v/>
      </c>
      <c r="F5" s="8">
        <f>Model!$B$23</f>
        <v/>
      </c>
    </row>
    <row r="6">
      <c r="A6" s="7">
        <f>0.97*S0_in</f>
        <v/>
      </c>
      <c r="B6" s="7">
        <f>FC_AMT*A6</f>
        <v/>
      </c>
      <c r="C6" s="7">
        <f>FC_AMT*MAX(A6,K_PUT) - PREM_PUT*FC_AMT</f>
        <v/>
      </c>
      <c r="D6" s="7">
        <f>FC_AMT*(A6 + MAX(A6-K_CALL,0)) - PREM_CALL*FC_AMT</f>
        <v/>
      </c>
      <c r="E6" s="8">
        <f>FC_AMT*F0_in</f>
        <v/>
      </c>
      <c r="F6" s="8">
        <f>Model!$B$23</f>
        <v/>
      </c>
    </row>
    <row r="7">
      <c r="A7" s="7">
        <f>0.98*S0_in</f>
        <v/>
      </c>
      <c r="B7" s="7">
        <f>FC_AMT*A7</f>
        <v/>
      </c>
      <c r="C7" s="7">
        <f>FC_AMT*MAX(A7,K_PUT) - PREM_PUT*FC_AMT</f>
        <v/>
      </c>
      <c r="D7" s="7">
        <f>FC_AMT*(A7 + MAX(A7-K_CALL,0)) - PREM_CALL*FC_AMT</f>
        <v/>
      </c>
      <c r="E7" s="8">
        <f>FC_AMT*F0_in</f>
        <v/>
      </c>
      <c r="F7" s="8">
        <f>Model!$B$23</f>
        <v/>
      </c>
    </row>
    <row r="8">
      <c r="A8" s="7">
        <f>0.99*S0_in</f>
        <v/>
      </c>
      <c r="B8" s="7">
        <f>FC_AMT*A8</f>
        <v/>
      </c>
      <c r="C8" s="7">
        <f>FC_AMT*MAX(A8,K_PUT) - PREM_PUT*FC_AMT</f>
        <v/>
      </c>
      <c r="D8" s="7">
        <f>FC_AMT*(A8 + MAX(A8-K_CALL,0)) - PREM_CALL*FC_AMT</f>
        <v/>
      </c>
      <c r="E8" s="8">
        <f>FC_AMT*F0_in</f>
        <v/>
      </c>
      <c r="F8" s="8">
        <f>Model!$B$23</f>
        <v/>
      </c>
    </row>
    <row r="9">
      <c r="A9" s="7">
        <f>1.0*S0_in</f>
        <v/>
      </c>
      <c r="B9" s="7">
        <f>FC_AMT*A9</f>
        <v/>
      </c>
      <c r="C9" s="7">
        <f>FC_AMT*MAX(A9,K_PUT) - PREM_PUT*FC_AMT</f>
        <v/>
      </c>
      <c r="D9" s="7">
        <f>FC_AMT*(A9 + MAX(A9-K_CALL,0)) - PREM_CALL*FC_AMT</f>
        <v/>
      </c>
      <c r="E9" s="8">
        <f>FC_AMT*F0_in</f>
        <v/>
      </c>
      <c r="F9" s="8">
        <f>Model!$B$23</f>
        <v/>
      </c>
    </row>
    <row r="10">
      <c r="A10" s="7">
        <f>1.01*S0_in</f>
        <v/>
      </c>
      <c r="B10" s="7">
        <f>FC_AMT*A10</f>
        <v/>
      </c>
      <c r="C10" s="7">
        <f>FC_AMT*MAX(A10,K_PUT) - PREM_PUT*FC_AMT</f>
        <v/>
      </c>
      <c r="D10" s="7">
        <f>FC_AMT*(A10 + MAX(A10-K_CALL,0)) - PREM_CALL*FC_AMT</f>
        <v/>
      </c>
      <c r="E10" s="8">
        <f>FC_AMT*F0_in</f>
        <v/>
      </c>
      <c r="F10" s="8">
        <f>Model!$B$23</f>
        <v/>
      </c>
    </row>
    <row r="11">
      <c r="A11" s="7">
        <f>1.02*S0_in</f>
        <v/>
      </c>
      <c r="B11" s="7">
        <f>FC_AMT*A11</f>
        <v/>
      </c>
      <c r="C11" s="7">
        <f>FC_AMT*MAX(A11,K_PUT) - PREM_PUT*FC_AMT</f>
        <v/>
      </c>
      <c r="D11" s="7">
        <f>FC_AMT*(A11 + MAX(A11-K_CALL,0)) - PREM_CALL*FC_AMT</f>
        <v/>
      </c>
      <c r="E11" s="8">
        <f>FC_AMT*F0_in</f>
        <v/>
      </c>
      <c r="F11" s="8">
        <f>Model!$B$23</f>
        <v/>
      </c>
    </row>
    <row r="12">
      <c r="A12" s="7">
        <f>1.03*S0_in</f>
        <v/>
      </c>
      <c r="B12" s="7">
        <f>FC_AMT*A12</f>
        <v/>
      </c>
      <c r="C12" s="7">
        <f>FC_AMT*MAX(A12,K_PUT) - PREM_PUT*FC_AMT</f>
        <v/>
      </c>
      <c r="D12" s="7">
        <f>FC_AMT*(A12 + MAX(A12-K_CALL,0)) - PREM_CALL*FC_AMT</f>
        <v/>
      </c>
      <c r="E12" s="8">
        <f>FC_AMT*F0_in</f>
        <v/>
      </c>
      <c r="F12" s="8">
        <f>Model!$B$23</f>
        <v/>
      </c>
    </row>
    <row r="13">
      <c r="A13" s="7">
        <f>1.04*S0_in</f>
        <v/>
      </c>
      <c r="B13" s="7">
        <f>FC_AMT*A13</f>
        <v/>
      </c>
      <c r="C13" s="7">
        <f>FC_AMT*MAX(A13,K_PUT) - PREM_PUT*FC_AMT</f>
        <v/>
      </c>
      <c r="D13" s="7">
        <f>FC_AMT*(A13 + MAX(A13-K_CALL,0)) - PREM_CALL*FC_AMT</f>
        <v/>
      </c>
      <c r="E13" s="8">
        <f>FC_AMT*F0_in</f>
        <v/>
      </c>
      <c r="F13" s="8">
        <f>Model!$B$23</f>
        <v/>
      </c>
    </row>
    <row r="14">
      <c r="A14" s="7">
        <f>1.05*S0_in</f>
        <v/>
      </c>
      <c r="B14" s="7">
        <f>FC_AMT*A14</f>
        <v/>
      </c>
      <c r="C14" s="7">
        <f>FC_AMT*MAX(A14,K_PUT) - PREM_PUT*FC_AMT</f>
        <v/>
      </c>
      <c r="D14" s="7">
        <f>FC_AMT*(A14 + MAX(A14-K_CALL,0)) - PREM_CALL*FC_AMT</f>
        <v/>
      </c>
      <c r="E14" s="8">
        <f>FC_AMT*F0_in</f>
        <v/>
      </c>
      <c r="F14" s="8">
        <f>Model!$B$23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2" t="inlineStr">
        <is>
          <t>Named Range</t>
        </is>
      </c>
      <c r="B1" s="2" t="inlineStr">
        <is>
          <t>Cell Reference</t>
        </is>
      </c>
    </row>
    <row r="2">
      <c r="A2" t="inlineStr">
        <is>
          <t>FC_AMT</t>
        </is>
      </c>
      <c r="B2" t="inlineStr">
        <is>
          <t>Model!$B$5</t>
        </is>
      </c>
    </row>
    <row r="3">
      <c r="A3" t="inlineStr">
        <is>
          <t>S0_in</t>
        </is>
      </c>
      <c r="B3" t="inlineStr">
        <is>
          <t>Model!$B$6</t>
        </is>
      </c>
    </row>
    <row r="4">
      <c r="A4" t="inlineStr">
        <is>
          <t>F0_in</t>
        </is>
      </c>
      <c r="B4" t="inlineStr">
        <is>
          <t>Model!$B$7</t>
        </is>
      </c>
    </row>
    <row r="5">
      <c r="A5" t="inlineStr">
        <is>
          <t>R_USD</t>
        </is>
      </c>
      <c r="B5" t="inlineStr">
        <is>
          <t>Model!$B$8</t>
        </is>
      </c>
    </row>
    <row r="6">
      <c r="A6" t="inlineStr">
        <is>
          <t>R_FC</t>
        </is>
      </c>
      <c r="B6" t="inlineStr">
        <is>
          <t>Model!$B$9</t>
        </is>
      </c>
    </row>
    <row r="7">
      <c r="A7" t="inlineStr">
        <is>
          <t>K_PUT</t>
        </is>
      </c>
      <c r="B7" t="inlineStr">
        <is>
          <t>Model!$B$10</t>
        </is>
      </c>
    </row>
    <row r="8">
      <c r="A8" t="inlineStr">
        <is>
          <t>K_CALL</t>
        </is>
      </c>
      <c r="B8" t="inlineStr">
        <is>
          <t>Model!$B$11</t>
        </is>
      </c>
    </row>
    <row r="9">
      <c r="A9" t="inlineStr">
        <is>
          <t>PREM_PUT</t>
        </is>
      </c>
      <c r="B9" t="inlineStr">
        <is>
          <t>Model!$B$12</t>
        </is>
      </c>
    </row>
    <row r="10">
      <c r="A10" t="inlineStr">
        <is>
          <t>PREM_CALL</t>
        </is>
      </c>
      <c r="B10" t="inlineStr">
        <is>
          <t>Model!$B$13</t>
        </is>
      </c>
    </row>
    <row r="11">
      <c r="A11" t="inlineStr">
        <is>
          <t>T_DAYS</t>
        </is>
      </c>
      <c r="B11" t="inlineStr">
        <is>
          <t>Model!$B$14</t>
        </is>
      </c>
    </row>
    <row r="12">
      <c r="A12" t="inlineStr">
        <is>
          <t>T_YRS</t>
        </is>
      </c>
      <c r="B12" t="inlineStr">
        <is>
          <t>Model!$B$15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2025-12-09T23:59:37Z</dcterms:created>
  <dcterms:modified xmlns:dcterms="http://purl.org/dc/terms/" xmlns:xsi="http://www.w3.org/2001/XMLSchema-instance" xsi:type="dcterms:W3CDTF">2025-12-09T23:59:37Z</dcterms:modified>
</cp:coreProperties>
</file>